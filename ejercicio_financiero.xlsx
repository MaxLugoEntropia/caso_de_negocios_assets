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xl/Downloads/"/>
    </mc:Choice>
  </mc:AlternateContent>
  <xr:revisionPtr revIDLastSave="0" documentId="13_ncr:1_{4D2235E7-47E4-C245-A863-D12E9DC46E83}" xr6:coauthVersionLast="47" xr6:coauthVersionMax="47" xr10:uidLastSave="{00000000-0000-0000-0000-000000000000}"/>
  <bookViews>
    <workbookView xWindow="39180" yWindow="540" windowWidth="28040" windowHeight="17440" xr2:uid="{07CB7F6C-D250-F74A-BF0E-10F7EE9DA276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G17" i="1" s="1"/>
  <c r="H17" i="1" s="1"/>
  <c r="I17" i="1" s="1"/>
  <c r="J17" i="1" s="1"/>
  <c r="K17" i="1" s="1"/>
  <c r="L17" i="1" s="1"/>
  <c r="M17" i="1" s="1"/>
  <c r="N17" i="1" s="1"/>
  <c r="O17" i="1" s="1"/>
  <c r="P17" i="1" s="1"/>
  <c r="Q17" i="1" s="1"/>
  <c r="R17" i="1" s="1"/>
  <c r="S17" i="1" s="1"/>
  <c r="T17" i="1" s="1"/>
  <c r="U17" i="1" s="1"/>
  <c r="V17" i="1" s="1"/>
  <c r="W17" i="1" s="1"/>
  <c r="X17" i="1" s="1"/>
  <c r="Y17" i="1" s="1"/>
  <c r="E17" i="1"/>
  <c r="D17" i="1"/>
  <c r="C17" i="1"/>
  <c r="C20" i="1" s="1"/>
  <c r="B19" i="1"/>
  <c r="C19" i="1" s="1"/>
  <c r="D19" i="1" s="1"/>
  <c r="E19" i="1" s="1"/>
  <c r="F19" i="1" s="1"/>
  <c r="G19" i="1" s="1"/>
  <c r="H19" i="1" s="1"/>
  <c r="I19" i="1" s="1"/>
  <c r="J19" i="1" s="1"/>
  <c r="K19" i="1" s="1"/>
  <c r="L19" i="1" s="1"/>
  <c r="M19" i="1" s="1"/>
  <c r="N19" i="1" s="1"/>
  <c r="O19" i="1" s="1"/>
  <c r="P19" i="1" s="1"/>
  <c r="Q19" i="1" s="1"/>
  <c r="R19" i="1" s="1"/>
  <c r="S19" i="1" s="1"/>
  <c r="T19" i="1" s="1"/>
  <c r="U19" i="1" s="1"/>
  <c r="V19" i="1" s="1"/>
  <c r="W19" i="1" s="1"/>
  <c r="X19" i="1" s="1"/>
  <c r="Y19" i="1" s="1"/>
  <c r="O15" i="1"/>
  <c r="P15" i="1" s="1"/>
  <c r="Q15" i="1" s="1"/>
  <c r="R15" i="1" s="1"/>
  <c r="S15" i="1" s="1"/>
  <c r="T15" i="1" s="1"/>
  <c r="U15" i="1" s="1"/>
  <c r="V15" i="1" s="1"/>
  <c r="W15" i="1" s="1"/>
  <c r="X15" i="1" s="1"/>
  <c r="Y15" i="1" s="1"/>
  <c r="B20" i="1"/>
  <c r="B18" i="1"/>
  <c r="D18" i="1" l="1"/>
  <c r="D20" i="1"/>
  <c r="C18" i="1"/>
  <c r="D21" i="1" l="1"/>
  <c r="E20" i="1"/>
  <c r="E18" i="1"/>
  <c r="C21" i="1"/>
  <c r="E21" i="1" l="1"/>
  <c r="F18" i="1"/>
  <c r="F20" i="1"/>
  <c r="F21" i="1" l="1"/>
  <c r="G20" i="1"/>
  <c r="G18" i="1"/>
  <c r="G21" i="1" l="1"/>
  <c r="H18" i="1"/>
  <c r="H20" i="1"/>
  <c r="H21" i="1" l="1"/>
  <c r="I18" i="1"/>
  <c r="I20" i="1"/>
  <c r="I21" i="1" l="1"/>
  <c r="J18" i="1"/>
  <c r="J20" i="1"/>
  <c r="J21" i="1" l="1"/>
  <c r="K20" i="1"/>
  <c r="K18" i="1"/>
  <c r="K21" i="1" s="1"/>
  <c r="L20" i="1" l="1"/>
  <c r="L18" i="1"/>
  <c r="L21" i="1" s="1"/>
  <c r="M18" i="1" l="1"/>
  <c r="M20" i="1"/>
  <c r="M21" i="1" l="1"/>
  <c r="N20" i="1"/>
  <c r="N18" i="1"/>
  <c r="N21" i="1" s="1"/>
  <c r="O18" i="1" l="1"/>
  <c r="O20" i="1"/>
  <c r="O21" i="1" l="1"/>
  <c r="P18" i="1"/>
  <c r="P20" i="1"/>
  <c r="P21" i="1" l="1"/>
  <c r="Q18" i="1"/>
  <c r="Q20" i="1"/>
  <c r="Q21" i="1" l="1"/>
  <c r="R20" i="1"/>
  <c r="R18" i="1"/>
  <c r="R21" i="1" s="1"/>
  <c r="S18" i="1" l="1"/>
  <c r="S20" i="1"/>
  <c r="S21" i="1" l="1"/>
  <c r="T20" i="1"/>
  <c r="T18" i="1"/>
  <c r="T21" i="1" s="1"/>
  <c r="U18" i="1" l="1"/>
  <c r="U20" i="1"/>
  <c r="U21" i="1" l="1"/>
  <c r="V18" i="1"/>
  <c r="V20" i="1"/>
  <c r="V21" i="1" l="1"/>
  <c r="W18" i="1"/>
  <c r="W20" i="1"/>
  <c r="W21" i="1" l="1"/>
  <c r="X20" i="1"/>
  <c r="X18" i="1"/>
  <c r="X21" i="1" s="1"/>
  <c r="Y20" i="1" l="1"/>
  <c r="Y18" i="1"/>
  <c r="B24" i="1" l="1"/>
  <c r="Y21" i="1"/>
  <c r="B16" i="1"/>
  <c r="B21" i="1" s="1"/>
  <c r="B25" i="1" l="1"/>
  <c r="B27" i="1"/>
</calcChain>
</file>

<file path=xl/sharedStrings.xml><?xml version="1.0" encoding="utf-8"?>
<sst xmlns="http://schemas.openxmlformats.org/spreadsheetml/2006/main" count="39" uniqueCount="36">
  <si>
    <t>Clientes</t>
  </si>
  <si>
    <t>costo unitario</t>
  </si>
  <si>
    <t>beneficio unitario</t>
  </si>
  <si>
    <t>Inversión</t>
  </si>
  <si>
    <t>Año</t>
  </si>
  <si>
    <t>Mes</t>
  </si>
  <si>
    <t>Costo fijo</t>
  </si>
  <si>
    <t>Ventas (mxn)</t>
  </si>
  <si>
    <t>Costo fijo (mxn)</t>
  </si>
  <si>
    <t>Costo x cliente (mxn)</t>
  </si>
  <si>
    <t>Beneficio</t>
  </si>
  <si>
    <t>ROI</t>
  </si>
  <si>
    <t>Punto de equilibrio</t>
  </si>
  <si>
    <t>VPN</t>
  </si>
  <si>
    <t>TIR (mensual)</t>
  </si>
  <si>
    <t>TIR (mensual mdo)</t>
  </si>
  <si>
    <t>Supuestos</t>
  </si>
  <si>
    <t>Unidad</t>
  </si>
  <si>
    <t>Valor</t>
  </si>
  <si>
    <t>Inicio clientes</t>
  </si>
  <si>
    <t>mes</t>
  </si>
  <si>
    <t>Tasa de crec. De clientes</t>
  </si>
  <si>
    <t>Tasa de chrun</t>
  </si>
  <si>
    <t>En que mes empiezo a vender</t>
  </si>
  <si>
    <t>Cada mes cuantos clientes se me van</t>
  </si>
  <si>
    <t>Inversión inicial</t>
  </si>
  <si>
    <t>mxn</t>
  </si>
  <si>
    <t>Costo fijo (salarios por ejemplo)</t>
  </si>
  <si>
    <t>inversión inicial en insumos etcs</t>
  </si>
  <si>
    <t>Ejercicio financiero a 2 años</t>
  </si>
  <si>
    <t>Mes 8</t>
  </si>
  <si>
    <t>Ticket promedio o precio por cliente vendido</t>
  </si>
  <si>
    <t>costo promedio por cliente</t>
  </si>
  <si>
    <t>cada mes tengo una meta de cuantos clientes nuevos</t>
  </si>
  <si>
    <t>clientes nuevos</t>
  </si>
  <si>
    <t>clientes que se 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</si>
</sst>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3" formatCode="_-* #,##0.00_-;\-* #,##0.00_-;_-* &quot;-&quot;??_-;_-@_-"/>
    <numFmt numFmtId="167" formatCode="_-* #,##0_-;\-* #,##0_-;_-* &quot;-&quot;??_-;_-@_-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167" fontId="0" fillId="0" borderId="0" xfId="1" applyNumberFormat="1" applyFont="1"/>
    <xf numFmtId="167" fontId="0" fillId="0" borderId="0" xfId="0" applyNumberFormat="1"/>
    <xf numFmtId="9" fontId="0" fillId="0" borderId="0" xfId="2" applyFont="1"/>
    <xf numFmtId="9" fontId="0" fillId="0" borderId="0" xfId="0" applyNumberFormat="1"/>
    <xf numFmtId="8" fontId="0" fillId="0" borderId="0" xfId="0" applyNumberFormat="1" applyAlignment="1">
      <alignment horizontal="right"/>
    </xf>
    <xf numFmtId="0" fontId="3" fillId="0" borderId="0" xfId="0" applyFont="1" applyAlignment="1">
      <alignment horizontal="right"/>
    </xf>
    <xf numFmtId="167" fontId="2" fillId="0" borderId="0" xfId="0" applyNumberFormat="1" applyFont="1"/>
    <xf numFmtId="0" fontId="2" fillId="0" borderId="0" xfId="0" applyFont="1" applyBorder="1"/>
    <xf numFmtId="0" fontId="2" fillId="0" borderId="0" xfId="0" applyFont="1" applyBorder="1" applyAlignment="1">
      <alignment horizontal="left"/>
    </xf>
    <xf numFmtId="0" fontId="2" fillId="0" borderId="1" xfId="0" applyFont="1" applyBorder="1"/>
    <xf numFmtId="0" fontId="0" fillId="0" borderId="1" xfId="0" applyBorder="1"/>
    <xf numFmtId="167" fontId="0" fillId="0" borderId="1" xfId="0" applyNumberFormat="1" applyBorder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56288-BBDA-C044-B610-1E22BAD549DD}">
  <dimension ref="A1:Y28"/>
  <sheetViews>
    <sheetView tabSelected="1" workbookViewId="0">
      <selection activeCell="B28" sqref="B28"/>
    </sheetView>
  </sheetViews>
  <sheetFormatPr baseColWidth="10" defaultRowHeight="16" x14ac:dyDescent="0.2"/>
  <cols>
    <col min="1" max="1" width="18.33203125" bestFit="1" customWidth="1"/>
    <col min="2" max="2" width="11.33203125" customWidth="1"/>
    <col min="3" max="9" width="11" bestFit="1" customWidth="1"/>
    <col min="10" max="23" width="12" bestFit="1" customWidth="1"/>
  </cols>
  <sheetData>
    <row r="1" spans="1:25" x14ac:dyDescent="0.2">
      <c r="A1" s="1" t="s">
        <v>29</v>
      </c>
    </row>
    <row r="3" spans="1:25" x14ac:dyDescent="0.2">
      <c r="A3" s="1" t="s">
        <v>16</v>
      </c>
      <c r="B3" s="1" t="s">
        <v>18</v>
      </c>
      <c r="C3" s="1" t="s">
        <v>17</v>
      </c>
    </row>
    <row r="4" spans="1:25" x14ac:dyDescent="0.2">
      <c r="A4" t="s">
        <v>1</v>
      </c>
      <c r="B4">
        <v>100</v>
      </c>
      <c r="C4" s="7" t="s">
        <v>26</v>
      </c>
      <c r="D4" t="s">
        <v>32</v>
      </c>
    </row>
    <row r="5" spans="1:25" x14ac:dyDescent="0.2">
      <c r="A5" t="s">
        <v>2</v>
      </c>
      <c r="B5">
        <v>500</v>
      </c>
      <c r="C5" s="7" t="s">
        <v>26</v>
      </c>
      <c r="D5" t="s">
        <v>31</v>
      </c>
    </row>
    <row r="6" spans="1:25" x14ac:dyDescent="0.2">
      <c r="A6" t="s">
        <v>19</v>
      </c>
      <c r="B6">
        <v>4</v>
      </c>
      <c r="C6" t="s">
        <v>20</v>
      </c>
      <c r="D6" t="s">
        <v>23</v>
      </c>
    </row>
    <row r="7" spans="1:25" x14ac:dyDescent="0.2">
      <c r="A7" t="s">
        <v>21</v>
      </c>
      <c r="B7">
        <v>7</v>
      </c>
      <c r="C7" t="s">
        <v>34</v>
      </c>
      <c r="D7" t="s">
        <v>33</v>
      </c>
    </row>
    <row r="8" spans="1:25" x14ac:dyDescent="0.2">
      <c r="A8" t="s">
        <v>22</v>
      </c>
      <c r="B8">
        <v>1</v>
      </c>
      <c r="C8" t="s">
        <v>35</v>
      </c>
      <c r="D8" t="s">
        <v>24</v>
      </c>
    </row>
    <row r="9" spans="1:25" x14ac:dyDescent="0.2">
      <c r="A9" t="s">
        <v>6</v>
      </c>
      <c r="B9" s="2">
        <v>10000</v>
      </c>
      <c r="C9" t="s">
        <v>26</v>
      </c>
      <c r="D9" t="s">
        <v>27</v>
      </c>
    </row>
    <row r="10" spans="1:25" x14ac:dyDescent="0.2">
      <c r="A10" t="s">
        <v>25</v>
      </c>
      <c r="B10" s="3">
        <v>100000</v>
      </c>
      <c r="C10" t="s">
        <v>26</v>
      </c>
      <c r="D10" t="s">
        <v>28</v>
      </c>
    </row>
    <row r="11" spans="1:25" x14ac:dyDescent="0.2">
      <c r="B11" s="3"/>
    </row>
    <row r="12" spans="1:25" x14ac:dyDescent="0.2">
      <c r="B12" s="3"/>
    </row>
    <row r="14" spans="1:25" x14ac:dyDescent="0.2">
      <c r="A14" s="9" t="s">
        <v>4</v>
      </c>
      <c r="B14" s="10">
        <v>1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>
        <v>2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spans="1:25" x14ac:dyDescent="0.2">
      <c r="A15" s="11" t="s">
        <v>5</v>
      </c>
      <c r="B15" s="11">
        <v>1</v>
      </c>
      <c r="C15" s="11">
        <v>2</v>
      </c>
      <c r="D15" s="11">
        <v>3</v>
      </c>
      <c r="E15" s="11">
        <v>4</v>
      </c>
      <c r="F15" s="11">
        <v>5</v>
      </c>
      <c r="G15" s="11">
        <v>6</v>
      </c>
      <c r="H15" s="11">
        <v>7</v>
      </c>
      <c r="I15" s="11">
        <v>8</v>
      </c>
      <c r="J15" s="11">
        <v>9</v>
      </c>
      <c r="K15" s="11">
        <v>10</v>
      </c>
      <c r="L15" s="11">
        <v>11</v>
      </c>
      <c r="M15" s="11">
        <v>12</v>
      </c>
      <c r="N15" s="11">
        <v>13</v>
      </c>
      <c r="O15" s="11">
        <f>+N15+1</f>
        <v>14</v>
      </c>
      <c r="P15" s="11">
        <f t="shared" ref="P15:Y15" si="0">+O15+1</f>
        <v>15</v>
      </c>
      <c r="Q15" s="11">
        <f t="shared" si="0"/>
        <v>16</v>
      </c>
      <c r="R15" s="11">
        <f t="shared" si="0"/>
        <v>17</v>
      </c>
      <c r="S15" s="11">
        <f t="shared" si="0"/>
        <v>18</v>
      </c>
      <c r="T15" s="11">
        <f t="shared" si="0"/>
        <v>19</v>
      </c>
      <c r="U15" s="11">
        <f t="shared" si="0"/>
        <v>20</v>
      </c>
      <c r="V15" s="11">
        <f t="shared" si="0"/>
        <v>21</v>
      </c>
      <c r="W15" s="11">
        <f t="shared" si="0"/>
        <v>22</v>
      </c>
      <c r="X15" s="11">
        <f t="shared" si="0"/>
        <v>23</v>
      </c>
      <c r="Y15" s="11">
        <f t="shared" si="0"/>
        <v>24</v>
      </c>
    </row>
    <row r="16" spans="1:25" x14ac:dyDescent="0.2">
      <c r="A16" t="s">
        <v>3</v>
      </c>
      <c r="B16" s="2">
        <f>+B10</f>
        <v>100000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</row>
    <row r="17" spans="1:25" x14ac:dyDescent="0.2">
      <c r="A17" t="s">
        <v>0</v>
      </c>
      <c r="B17">
        <v>0</v>
      </c>
      <c r="C17">
        <f>+IF(C15&lt;$B$6,0,B17+$B$7)</f>
        <v>0</v>
      </c>
      <c r="D17">
        <f t="shared" ref="D17:Y17" si="1">+IF(D15&lt;$B$6,0,C17+$B$7)</f>
        <v>0</v>
      </c>
      <c r="E17">
        <f>+IF(E15&lt;$B$6,0,D17+$B$7-$B$8)</f>
        <v>6</v>
      </c>
      <c r="F17">
        <f t="shared" ref="F17:Y17" si="2">+IF(F15&lt;$B$6,0,E17+$B$7-$B$8)</f>
        <v>12</v>
      </c>
      <c r="G17">
        <f t="shared" si="2"/>
        <v>18</v>
      </c>
      <c r="H17">
        <f t="shared" si="2"/>
        <v>24</v>
      </c>
      <c r="I17">
        <f t="shared" si="2"/>
        <v>30</v>
      </c>
      <c r="J17">
        <f t="shared" si="2"/>
        <v>36</v>
      </c>
      <c r="K17">
        <f t="shared" si="2"/>
        <v>42</v>
      </c>
      <c r="L17">
        <f t="shared" si="2"/>
        <v>48</v>
      </c>
      <c r="M17">
        <f t="shared" si="2"/>
        <v>54</v>
      </c>
      <c r="N17">
        <f t="shared" si="2"/>
        <v>60</v>
      </c>
      <c r="O17">
        <f t="shared" si="2"/>
        <v>66</v>
      </c>
      <c r="P17">
        <f t="shared" si="2"/>
        <v>72</v>
      </c>
      <c r="Q17">
        <f t="shared" si="2"/>
        <v>78</v>
      </c>
      <c r="R17">
        <f t="shared" si="2"/>
        <v>84</v>
      </c>
      <c r="S17">
        <f t="shared" si="2"/>
        <v>90</v>
      </c>
      <c r="T17">
        <f t="shared" si="2"/>
        <v>96</v>
      </c>
      <c r="U17">
        <f t="shared" si="2"/>
        <v>102</v>
      </c>
      <c r="V17">
        <f t="shared" si="2"/>
        <v>108</v>
      </c>
      <c r="W17">
        <f t="shared" si="2"/>
        <v>114</v>
      </c>
      <c r="X17">
        <f t="shared" si="2"/>
        <v>120</v>
      </c>
      <c r="Y17">
        <f t="shared" si="2"/>
        <v>126</v>
      </c>
    </row>
    <row r="18" spans="1:25" x14ac:dyDescent="0.2">
      <c r="A18" t="s">
        <v>7</v>
      </c>
      <c r="B18" s="2">
        <f>+B17*$B$5</f>
        <v>0</v>
      </c>
      <c r="C18" s="2">
        <f>+C17*$B$5</f>
        <v>0</v>
      </c>
      <c r="D18" s="2">
        <f>+D17*$B$5</f>
        <v>0</v>
      </c>
      <c r="E18" s="2">
        <f>+E17*$B$5</f>
        <v>3000</v>
      </c>
      <c r="F18" s="2">
        <f>+F17*$B$5</f>
        <v>6000</v>
      </c>
      <c r="G18" s="2">
        <f>+G17*$B$5</f>
        <v>9000</v>
      </c>
      <c r="H18" s="2">
        <f>+H17*$B$5</f>
        <v>12000</v>
      </c>
      <c r="I18" s="2">
        <f>+I17*$B$5</f>
        <v>15000</v>
      </c>
      <c r="J18" s="2">
        <f>+J17*$B$5</f>
        <v>18000</v>
      </c>
      <c r="K18" s="2">
        <f>+K17*$B$5</f>
        <v>21000</v>
      </c>
      <c r="L18" s="2">
        <f>+L17*$B$5</f>
        <v>24000</v>
      </c>
      <c r="M18" s="2">
        <f>+M17*$B$5</f>
        <v>27000</v>
      </c>
      <c r="N18" s="2">
        <f>+N17*$B$5</f>
        <v>30000</v>
      </c>
      <c r="O18" s="2">
        <f t="shared" ref="O18" si="3">+O17*$B$5</f>
        <v>33000</v>
      </c>
      <c r="P18" s="2">
        <f t="shared" ref="P18" si="4">+P17*$B$5</f>
        <v>36000</v>
      </c>
      <c r="Q18" s="2">
        <f t="shared" ref="Q18" si="5">+Q17*$B$5</f>
        <v>39000</v>
      </c>
      <c r="R18" s="2">
        <f t="shared" ref="R18" si="6">+R17*$B$5</f>
        <v>42000</v>
      </c>
      <c r="S18" s="2">
        <f t="shared" ref="S18" si="7">+S17*$B$5</f>
        <v>45000</v>
      </c>
      <c r="T18" s="2">
        <f t="shared" ref="T18" si="8">+T17*$B$5</f>
        <v>48000</v>
      </c>
      <c r="U18" s="2">
        <f t="shared" ref="U18" si="9">+U17*$B$5</f>
        <v>51000</v>
      </c>
      <c r="V18" s="2">
        <f t="shared" ref="V18" si="10">+V17*$B$5</f>
        <v>54000</v>
      </c>
      <c r="W18" s="2">
        <f t="shared" ref="W18" si="11">+W17*$B$5</f>
        <v>57000</v>
      </c>
      <c r="X18" s="2">
        <f t="shared" ref="X18" si="12">+X17*$B$5</f>
        <v>60000</v>
      </c>
      <c r="Y18" s="2">
        <f t="shared" ref="Y18" si="13">+Y17*$B$5</f>
        <v>63000</v>
      </c>
    </row>
    <row r="19" spans="1:25" x14ac:dyDescent="0.2">
      <c r="A19" t="s">
        <v>8</v>
      </c>
      <c r="B19" s="2">
        <f>+B9</f>
        <v>10000</v>
      </c>
      <c r="C19" s="3">
        <f>+B19</f>
        <v>10000</v>
      </c>
      <c r="D19" s="3">
        <f t="shared" ref="D19:N19" si="14">+C19</f>
        <v>10000</v>
      </c>
      <c r="E19" s="3">
        <f t="shared" si="14"/>
        <v>10000</v>
      </c>
      <c r="F19" s="3">
        <f t="shared" si="14"/>
        <v>10000</v>
      </c>
      <c r="G19" s="3">
        <f t="shared" si="14"/>
        <v>10000</v>
      </c>
      <c r="H19" s="3">
        <f t="shared" si="14"/>
        <v>10000</v>
      </c>
      <c r="I19" s="3">
        <f t="shared" si="14"/>
        <v>10000</v>
      </c>
      <c r="J19" s="3">
        <f t="shared" si="14"/>
        <v>10000</v>
      </c>
      <c r="K19" s="3">
        <f t="shared" si="14"/>
        <v>10000</v>
      </c>
      <c r="L19" s="3">
        <f t="shared" si="14"/>
        <v>10000</v>
      </c>
      <c r="M19" s="3">
        <f t="shared" si="14"/>
        <v>10000</v>
      </c>
      <c r="N19" s="3">
        <f t="shared" si="14"/>
        <v>10000</v>
      </c>
      <c r="O19" s="3">
        <f t="shared" ref="O19:Y19" si="15">+N19</f>
        <v>10000</v>
      </c>
      <c r="P19" s="3">
        <f t="shared" si="15"/>
        <v>10000</v>
      </c>
      <c r="Q19" s="3">
        <f t="shared" si="15"/>
        <v>10000</v>
      </c>
      <c r="R19" s="3">
        <f t="shared" si="15"/>
        <v>10000</v>
      </c>
      <c r="S19" s="3">
        <f t="shared" si="15"/>
        <v>10000</v>
      </c>
      <c r="T19" s="3">
        <f t="shared" si="15"/>
        <v>10000</v>
      </c>
      <c r="U19" s="3">
        <f t="shared" si="15"/>
        <v>10000</v>
      </c>
      <c r="V19" s="3">
        <f t="shared" si="15"/>
        <v>10000</v>
      </c>
      <c r="W19" s="3">
        <f t="shared" si="15"/>
        <v>10000</v>
      </c>
      <c r="X19" s="3">
        <f t="shared" si="15"/>
        <v>10000</v>
      </c>
      <c r="Y19" s="3">
        <f t="shared" si="15"/>
        <v>10000</v>
      </c>
    </row>
    <row r="20" spans="1:25" x14ac:dyDescent="0.2">
      <c r="A20" s="12" t="s">
        <v>9</v>
      </c>
      <c r="B20" s="13">
        <f>+B17*$B$4</f>
        <v>0</v>
      </c>
      <c r="C20" s="13">
        <f>+C17*$B$4</f>
        <v>0</v>
      </c>
      <c r="D20" s="13">
        <f>+D17*$B$4</f>
        <v>0</v>
      </c>
      <c r="E20" s="13">
        <f>+E17*$B$4</f>
        <v>600</v>
      </c>
      <c r="F20" s="13">
        <f>+F17*$B$4</f>
        <v>1200</v>
      </c>
      <c r="G20" s="13">
        <f>+G17*$B$4</f>
        <v>1800</v>
      </c>
      <c r="H20" s="13">
        <f>+H17*$B$4</f>
        <v>2400</v>
      </c>
      <c r="I20" s="13">
        <f>+I17*$B$4</f>
        <v>3000</v>
      </c>
      <c r="J20" s="13">
        <f>+J17*$B$4</f>
        <v>3600</v>
      </c>
      <c r="K20" s="13">
        <f>+K17*$B$4</f>
        <v>4200</v>
      </c>
      <c r="L20" s="13">
        <f>+L17*$B$4</f>
        <v>4800</v>
      </c>
      <c r="M20" s="13">
        <f>+M17*$B$4</f>
        <v>5400</v>
      </c>
      <c r="N20" s="13">
        <f>+N17*$B$4</f>
        <v>6000</v>
      </c>
      <c r="O20" s="13">
        <f t="shared" ref="O20:Y20" si="16">+O17*$B$4</f>
        <v>6600</v>
      </c>
      <c r="P20" s="13">
        <f t="shared" si="16"/>
        <v>7200</v>
      </c>
      <c r="Q20" s="13">
        <f t="shared" si="16"/>
        <v>7800</v>
      </c>
      <c r="R20" s="13">
        <f t="shared" si="16"/>
        <v>8400</v>
      </c>
      <c r="S20" s="13">
        <f t="shared" si="16"/>
        <v>9000</v>
      </c>
      <c r="T20" s="13">
        <f t="shared" si="16"/>
        <v>9600</v>
      </c>
      <c r="U20" s="13">
        <f t="shared" si="16"/>
        <v>10200</v>
      </c>
      <c r="V20" s="13">
        <f t="shared" si="16"/>
        <v>10800</v>
      </c>
      <c r="W20" s="13">
        <f t="shared" si="16"/>
        <v>11400</v>
      </c>
      <c r="X20" s="13">
        <f t="shared" si="16"/>
        <v>12000</v>
      </c>
      <c r="Y20" s="13">
        <f t="shared" si="16"/>
        <v>12600</v>
      </c>
    </row>
    <row r="21" spans="1:25" x14ac:dyDescent="0.2">
      <c r="A21" s="1" t="s">
        <v>10</v>
      </c>
      <c r="B21" s="8">
        <f>+B18-(B16+B19+B20)</f>
        <v>-110000</v>
      </c>
      <c r="C21" s="8">
        <f t="shared" ref="C21:N21" si="17">+C18-(C16+C19+C20)</f>
        <v>-10000</v>
      </c>
      <c r="D21" s="8">
        <f t="shared" si="17"/>
        <v>-10000</v>
      </c>
      <c r="E21" s="8">
        <f t="shared" si="17"/>
        <v>-7600</v>
      </c>
      <c r="F21" s="8">
        <f t="shared" si="17"/>
        <v>-5200</v>
      </c>
      <c r="G21" s="8">
        <f t="shared" si="17"/>
        <v>-2800</v>
      </c>
      <c r="H21" s="8">
        <f t="shared" si="17"/>
        <v>-400</v>
      </c>
      <c r="I21" s="8">
        <f t="shared" si="17"/>
        <v>2000</v>
      </c>
      <c r="J21" s="8">
        <f t="shared" si="17"/>
        <v>4400</v>
      </c>
      <c r="K21" s="8">
        <f t="shared" si="17"/>
        <v>6800</v>
      </c>
      <c r="L21" s="8">
        <f t="shared" si="17"/>
        <v>9200</v>
      </c>
      <c r="M21" s="8">
        <f t="shared" si="17"/>
        <v>11600</v>
      </c>
      <c r="N21" s="8">
        <f t="shared" si="17"/>
        <v>14000</v>
      </c>
      <c r="O21" s="8">
        <f t="shared" ref="O21" si="18">+O18-(O16+O19+O20)</f>
        <v>16400</v>
      </c>
      <c r="P21" s="8">
        <f t="shared" ref="P21" si="19">+P18-(P16+P19+P20)</f>
        <v>18800</v>
      </c>
      <c r="Q21" s="8">
        <f t="shared" ref="Q21" si="20">+Q18-(Q16+Q19+Q20)</f>
        <v>21200</v>
      </c>
      <c r="R21" s="8">
        <f t="shared" ref="R21" si="21">+R18-(R16+R19+R20)</f>
        <v>23600</v>
      </c>
      <c r="S21" s="8">
        <f t="shared" ref="S21" si="22">+S18-(S16+S19+S20)</f>
        <v>26000</v>
      </c>
      <c r="T21" s="8">
        <f t="shared" ref="T21" si="23">+T18-(T16+T19+T20)</f>
        <v>28400</v>
      </c>
      <c r="U21" s="8">
        <f t="shared" ref="U21" si="24">+U18-(U16+U19+U20)</f>
        <v>30800</v>
      </c>
      <c r="V21" s="8">
        <f t="shared" ref="V21" si="25">+V18-(V16+V19+V20)</f>
        <v>33200</v>
      </c>
      <c r="W21" s="8">
        <f t="shared" ref="W21" si="26">+W18-(W16+W19+W20)</f>
        <v>35600</v>
      </c>
      <c r="X21" s="8">
        <f t="shared" ref="X21" si="27">+X18-(X16+X19+X20)</f>
        <v>38000</v>
      </c>
      <c r="Y21" s="8">
        <f t="shared" ref="Y21" si="28">+Y18-(Y16+Y19+Y20)</f>
        <v>40400</v>
      </c>
    </row>
    <row r="22" spans="1:25" x14ac:dyDescent="0.2">
      <c r="A22" s="1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4" spans="1:25" x14ac:dyDescent="0.2">
      <c r="A24" s="1" t="s">
        <v>11</v>
      </c>
      <c r="B24" s="4">
        <f>+SUM(B18:Y18)/SUM(B19:Y20) -1</f>
        <v>0.83042789223454827</v>
      </c>
    </row>
    <row r="25" spans="1:25" x14ac:dyDescent="0.2">
      <c r="A25" s="1" t="s">
        <v>14</v>
      </c>
      <c r="B25" s="5">
        <f>+IRR(B21:Y21)</f>
        <v>5.5689908129699095E-2</v>
      </c>
    </row>
    <row r="26" spans="1:25" x14ac:dyDescent="0.2">
      <c r="A26" s="1" t="s">
        <v>15</v>
      </c>
      <c r="B26" s="5">
        <v>9.1666666666666667E-3</v>
      </c>
    </row>
    <row r="27" spans="1:25" x14ac:dyDescent="0.2">
      <c r="A27" s="1" t="s">
        <v>13</v>
      </c>
      <c r="B27" s="6">
        <f>+NPV(B26,B21:Y21)</f>
        <v>160156.50090113591</v>
      </c>
    </row>
    <row r="28" spans="1:25" x14ac:dyDescent="0.2">
      <c r="A28" s="1" t="s">
        <v>12</v>
      </c>
      <c r="B28" s="7" t="s">
        <v>30</v>
      </c>
    </row>
  </sheetData>
  <mergeCells count="2">
    <mergeCell ref="B14:M14"/>
    <mergeCell ref="N14:Y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Lugo</dc:creator>
  <cp:lastModifiedBy>Max Lugo</cp:lastModifiedBy>
  <dcterms:created xsi:type="dcterms:W3CDTF">2026-02-18T18:06:07Z</dcterms:created>
  <dcterms:modified xsi:type="dcterms:W3CDTF">2026-02-18T18:36:30Z</dcterms:modified>
</cp:coreProperties>
</file>