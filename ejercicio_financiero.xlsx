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l/Documents/edu/product_design/"/>
    </mc:Choice>
  </mc:AlternateContent>
  <xr:revisionPtr revIDLastSave="0" documentId="13_ncr:1_{CB1710A9-6C7E-2C40-B6D7-152F21B5E13C}" xr6:coauthVersionLast="47" xr6:coauthVersionMax="47" xr10:uidLastSave="{00000000-0000-0000-0000-000000000000}"/>
  <bookViews>
    <workbookView xWindow="0" yWindow="500" windowWidth="38400" windowHeight="19420" xr2:uid="{07CB7F6C-D250-F74A-BF0E-10F7EE9DA2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O32" i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B7" i="1"/>
  <c r="B34" i="1" s="1"/>
  <c r="C34" i="1" s="1"/>
  <c r="D34" i="1" s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D24" i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C24" i="1"/>
  <c r="C27" i="1" s="1"/>
  <c r="B26" i="1"/>
  <c r="C26" i="1" s="1"/>
  <c r="D26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O22" i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B27" i="1"/>
  <c r="B25" i="1"/>
  <c r="D25" i="1" l="1"/>
  <c r="D27" i="1"/>
  <c r="C25" i="1"/>
  <c r="D28" i="1" l="1"/>
  <c r="E27" i="1"/>
  <c r="E25" i="1"/>
  <c r="C28" i="1"/>
  <c r="E28" i="1" l="1"/>
  <c r="F25" i="1"/>
  <c r="F27" i="1"/>
  <c r="F28" i="1" l="1"/>
  <c r="G27" i="1"/>
  <c r="G25" i="1"/>
  <c r="G28" i="1" l="1"/>
  <c r="H25" i="1"/>
  <c r="H27" i="1"/>
  <c r="H28" i="1" l="1"/>
  <c r="I25" i="1"/>
  <c r="I27" i="1"/>
  <c r="I28" i="1" l="1"/>
  <c r="J25" i="1"/>
  <c r="J27" i="1"/>
  <c r="J28" i="1" l="1"/>
  <c r="K27" i="1"/>
  <c r="K25" i="1"/>
  <c r="K28" i="1" s="1"/>
  <c r="L27" i="1" l="1"/>
  <c r="L25" i="1"/>
  <c r="L28" i="1" s="1"/>
  <c r="M25" i="1" l="1"/>
  <c r="M27" i="1"/>
  <c r="M28" i="1" l="1"/>
  <c r="N27" i="1"/>
  <c r="N25" i="1"/>
  <c r="N28" i="1" s="1"/>
  <c r="O25" i="1" l="1"/>
  <c r="O27" i="1"/>
  <c r="O28" i="1" l="1"/>
  <c r="P25" i="1"/>
  <c r="P27" i="1"/>
  <c r="P28" i="1" l="1"/>
  <c r="Q25" i="1"/>
  <c r="Q27" i="1"/>
  <c r="Q28" i="1" l="1"/>
  <c r="R27" i="1"/>
  <c r="R25" i="1"/>
  <c r="R28" i="1" s="1"/>
  <c r="S25" i="1" l="1"/>
  <c r="S27" i="1"/>
  <c r="S28" i="1" l="1"/>
  <c r="T27" i="1"/>
  <c r="T25" i="1"/>
  <c r="T28" i="1" s="1"/>
  <c r="U25" i="1" l="1"/>
  <c r="U27" i="1"/>
  <c r="U28" i="1" l="1"/>
  <c r="V25" i="1"/>
  <c r="V27" i="1"/>
  <c r="V28" i="1" l="1"/>
  <c r="W25" i="1"/>
  <c r="W27" i="1"/>
  <c r="W28" i="1" l="1"/>
  <c r="X27" i="1"/>
  <c r="X25" i="1"/>
  <c r="X28" i="1" s="1"/>
  <c r="Y27" i="1" l="1"/>
  <c r="Y25" i="1"/>
  <c r="B40" i="1" l="1"/>
  <c r="Y28" i="1"/>
  <c r="B23" i="1"/>
  <c r="B28" i="1" s="1"/>
  <c r="B41" i="1" l="1"/>
  <c r="B43" i="1"/>
</calcChain>
</file>

<file path=xl/sharedStrings.xml><?xml version="1.0" encoding="utf-8"?>
<sst xmlns="http://schemas.openxmlformats.org/spreadsheetml/2006/main" count="47" uniqueCount="42">
  <si>
    <t>Clientes</t>
  </si>
  <si>
    <t>costo unitario</t>
  </si>
  <si>
    <t>beneficio unitario</t>
  </si>
  <si>
    <t>Año</t>
  </si>
  <si>
    <t>Mes</t>
  </si>
  <si>
    <t>Costo fijo</t>
  </si>
  <si>
    <t>Ventas (mxn)</t>
  </si>
  <si>
    <t>Costo fijo (mxn)</t>
  </si>
  <si>
    <t>Costo x cliente (mxn)</t>
  </si>
  <si>
    <t>Beneficio</t>
  </si>
  <si>
    <t>ROI</t>
  </si>
  <si>
    <t>Punto de equilibrio</t>
  </si>
  <si>
    <t>VPN</t>
  </si>
  <si>
    <t>TIR (mensual)</t>
  </si>
  <si>
    <t>TIR (mensual mdo)</t>
  </si>
  <si>
    <t>Supuestos</t>
  </si>
  <si>
    <t>Unidad</t>
  </si>
  <si>
    <t>Valor</t>
  </si>
  <si>
    <t>Inicio clientes</t>
  </si>
  <si>
    <t>mes</t>
  </si>
  <si>
    <t>Tasa de crec. De clientes</t>
  </si>
  <si>
    <t>Tasa de chrun</t>
  </si>
  <si>
    <t>En que mes empiezo a vender</t>
  </si>
  <si>
    <t>Cada mes cuantos clientes se me van</t>
  </si>
  <si>
    <t>Inversión inicial</t>
  </si>
  <si>
    <t>mxn</t>
  </si>
  <si>
    <t>Costo fijo (salarios por ejemplo)</t>
  </si>
  <si>
    <t>inversión inicial en insumos etcs</t>
  </si>
  <si>
    <t>Ejercicio financiero a 2 años</t>
  </si>
  <si>
    <t>Mes 8</t>
  </si>
  <si>
    <t>Ticket promedio o precio por cliente vendido</t>
  </si>
  <si>
    <t>costo promedio por cliente</t>
  </si>
  <si>
    <t>cada mes tengo una meta de cuantos clientes nuevos</t>
  </si>
  <si>
    <t>clientes nuevos</t>
  </si>
  <si>
    <t>clientes que se van</t>
  </si>
  <si>
    <t>Socios</t>
  </si>
  <si>
    <t>inversión en la empresa</t>
  </si>
  <si>
    <t>Capital social</t>
  </si>
  <si>
    <t>Banco</t>
  </si>
  <si>
    <t>movimientos</t>
  </si>
  <si>
    <t>Balance</t>
  </si>
  <si>
    <t>Maquina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</si>
</sst>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3" formatCode="_-* #,##0.00_-;\-* #,##0.00_-;_-* &quot;-&quot;??_-;_-@_-"/>
    <numFmt numFmtId="164" formatCode="_-* #,##0_-;\-* #,##0_-;_-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9" fontId="0" fillId="0" borderId="0" xfId="0" applyNumberFormat="1"/>
    <xf numFmtId="8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164" fontId="2" fillId="0" borderId="0" xfId="0" applyNumberFormat="1" applyFont="1"/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6288-BBDA-C044-B610-1E22BAD549DD}">
  <dimension ref="A1:Y44"/>
  <sheetViews>
    <sheetView tabSelected="1" topLeftCell="A24" zoomScale="190" zoomScaleNormal="190" workbookViewId="0">
      <selection activeCell="A45" sqref="A45"/>
    </sheetView>
  </sheetViews>
  <sheetFormatPr baseColWidth="10" defaultRowHeight="16" x14ac:dyDescent="0.2"/>
  <cols>
    <col min="1" max="1" width="18.33203125" bestFit="1" customWidth="1"/>
    <col min="2" max="2" width="11.33203125" customWidth="1"/>
    <col min="3" max="9" width="11" bestFit="1" customWidth="1"/>
    <col min="10" max="23" width="12" bestFit="1" customWidth="1"/>
  </cols>
  <sheetData>
    <row r="1" spans="1:4" x14ac:dyDescent="0.2">
      <c r="A1" s="1" t="s">
        <v>28</v>
      </c>
    </row>
    <row r="3" spans="1:4" x14ac:dyDescent="0.2">
      <c r="A3" s="15" t="s">
        <v>35</v>
      </c>
      <c r="B3" s="1" t="s">
        <v>36</v>
      </c>
    </row>
    <row r="4" spans="1:4" x14ac:dyDescent="0.2">
      <c r="A4" s="14">
        <v>1</v>
      </c>
      <c r="B4" s="3">
        <v>50000</v>
      </c>
    </row>
    <row r="5" spans="1:4" x14ac:dyDescent="0.2">
      <c r="A5" s="14">
        <v>2</v>
      </c>
      <c r="B5" s="3">
        <v>50000</v>
      </c>
    </row>
    <row r="6" spans="1:4" x14ac:dyDescent="0.2">
      <c r="A6" s="14">
        <v>3</v>
      </c>
      <c r="B6" s="3">
        <v>50000</v>
      </c>
    </row>
    <row r="7" spans="1:4" x14ac:dyDescent="0.2">
      <c r="A7" s="15" t="s">
        <v>37</v>
      </c>
      <c r="B7" s="8">
        <f>+SUM(B4:B6)</f>
        <v>150000</v>
      </c>
    </row>
    <row r="10" spans="1:4" x14ac:dyDescent="0.2">
      <c r="A10" s="1" t="s">
        <v>15</v>
      </c>
      <c r="B10" s="1" t="s">
        <v>17</v>
      </c>
      <c r="C10" s="1" t="s">
        <v>16</v>
      </c>
    </row>
    <row r="11" spans="1:4" x14ac:dyDescent="0.2">
      <c r="A11" t="s">
        <v>1</v>
      </c>
      <c r="B11">
        <v>100</v>
      </c>
      <c r="C11" s="7" t="s">
        <v>25</v>
      </c>
      <c r="D11" t="s">
        <v>31</v>
      </c>
    </row>
    <row r="12" spans="1:4" x14ac:dyDescent="0.2">
      <c r="A12" t="s">
        <v>2</v>
      </c>
      <c r="B12">
        <v>500</v>
      </c>
      <c r="C12" s="7" t="s">
        <v>25</v>
      </c>
      <c r="D12" t="s">
        <v>30</v>
      </c>
    </row>
    <row r="13" spans="1:4" x14ac:dyDescent="0.2">
      <c r="A13" t="s">
        <v>18</v>
      </c>
      <c r="B13">
        <v>4</v>
      </c>
      <c r="C13" t="s">
        <v>19</v>
      </c>
      <c r="D13" t="s">
        <v>22</v>
      </c>
    </row>
    <row r="14" spans="1:4" x14ac:dyDescent="0.2">
      <c r="A14" t="s">
        <v>20</v>
      </c>
      <c r="B14">
        <v>7</v>
      </c>
      <c r="C14" t="s">
        <v>33</v>
      </c>
      <c r="D14" t="s">
        <v>32</v>
      </c>
    </row>
    <row r="15" spans="1:4" x14ac:dyDescent="0.2">
      <c r="A15" t="s">
        <v>21</v>
      </c>
      <c r="B15">
        <v>1</v>
      </c>
      <c r="C15" t="s">
        <v>34</v>
      </c>
      <c r="D15" t="s">
        <v>23</v>
      </c>
    </row>
    <row r="16" spans="1:4" x14ac:dyDescent="0.2">
      <c r="A16" t="s">
        <v>5</v>
      </c>
      <c r="B16" s="2">
        <v>10000</v>
      </c>
      <c r="C16" t="s">
        <v>25</v>
      </c>
      <c r="D16" t="s">
        <v>26</v>
      </c>
    </row>
    <row r="17" spans="1:25" x14ac:dyDescent="0.2">
      <c r="A17" t="s">
        <v>24</v>
      </c>
      <c r="B17" s="3">
        <v>100000</v>
      </c>
      <c r="C17" t="s">
        <v>25</v>
      </c>
      <c r="D17" t="s">
        <v>27</v>
      </c>
    </row>
    <row r="18" spans="1:25" x14ac:dyDescent="0.2">
      <c r="B18" s="3"/>
    </row>
    <row r="19" spans="1:25" x14ac:dyDescent="0.2">
      <c r="B19" s="3"/>
    </row>
    <row r="21" spans="1:25" x14ac:dyDescent="0.2">
      <c r="A21" s="1" t="s">
        <v>3</v>
      </c>
      <c r="B21" s="12">
        <v>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>
        <v>2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2">
      <c r="A22" s="9" t="s">
        <v>4</v>
      </c>
      <c r="B22" s="9">
        <v>1</v>
      </c>
      <c r="C22" s="9">
        <v>2</v>
      </c>
      <c r="D22" s="9">
        <v>3</v>
      </c>
      <c r="E22" s="9">
        <v>4</v>
      </c>
      <c r="F22" s="9">
        <v>5</v>
      </c>
      <c r="G22" s="9">
        <v>6</v>
      </c>
      <c r="H22" s="9">
        <v>7</v>
      </c>
      <c r="I22" s="9">
        <v>8</v>
      </c>
      <c r="J22" s="9">
        <v>9</v>
      </c>
      <c r="K22" s="9">
        <v>10</v>
      </c>
      <c r="L22" s="9">
        <v>11</v>
      </c>
      <c r="M22" s="9">
        <v>12</v>
      </c>
      <c r="N22" s="9">
        <v>13</v>
      </c>
      <c r="O22" s="9">
        <f>+N22+1</f>
        <v>14</v>
      </c>
      <c r="P22" s="9">
        <f t="shared" ref="P22:Y22" si="0">+O22+1</f>
        <v>15</v>
      </c>
      <c r="Q22" s="9">
        <f t="shared" si="0"/>
        <v>16</v>
      </c>
      <c r="R22" s="9">
        <f t="shared" si="0"/>
        <v>17</v>
      </c>
      <c r="S22" s="9">
        <f t="shared" si="0"/>
        <v>18</v>
      </c>
      <c r="T22" s="9">
        <f t="shared" si="0"/>
        <v>19</v>
      </c>
      <c r="U22" s="9">
        <f t="shared" si="0"/>
        <v>20</v>
      </c>
      <c r="V22" s="9">
        <f t="shared" si="0"/>
        <v>21</v>
      </c>
      <c r="W22" s="9">
        <f t="shared" si="0"/>
        <v>22</v>
      </c>
      <c r="X22" s="9">
        <f t="shared" si="0"/>
        <v>23</v>
      </c>
      <c r="Y22" s="9">
        <f t="shared" si="0"/>
        <v>24</v>
      </c>
    </row>
    <row r="23" spans="1:25" x14ac:dyDescent="0.2">
      <c r="A23" t="s">
        <v>41</v>
      </c>
      <c r="B23" s="2">
        <f>+B17</f>
        <v>100000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">
      <c r="A24" t="s">
        <v>0</v>
      </c>
      <c r="B24">
        <v>0</v>
      </c>
      <c r="C24">
        <f>+IF(C22&lt;$B$13,0,B24+$B$14)</f>
        <v>0</v>
      </c>
      <c r="D24">
        <f t="shared" ref="D24" si="1">+IF(D22&lt;$B$13,0,C24+$B$14)</f>
        <v>0</v>
      </c>
      <c r="E24">
        <f>+IF(E22&lt;$B$13,0,D24+$B$14-$B$15)</f>
        <v>6</v>
      </c>
      <c r="F24">
        <f t="shared" ref="F24:Y24" si="2">+IF(F22&lt;$B$13,0,E24+$B$14-$B$15)</f>
        <v>12</v>
      </c>
      <c r="G24">
        <f t="shared" si="2"/>
        <v>18</v>
      </c>
      <c r="H24">
        <f t="shared" si="2"/>
        <v>24</v>
      </c>
      <c r="I24">
        <f t="shared" si="2"/>
        <v>30</v>
      </c>
      <c r="J24">
        <f t="shared" si="2"/>
        <v>36</v>
      </c>
      <c r="K24">
        <f t="shared" si="2"/>
        <v>42</v>
      </c>
      <c r="L24">
        <f t="shared" si="2"/>
        <v>48</v>
      </c>
      <c r="M24">
        <f t="shared" si="2"/>
        <v>54</v>
      </c>
      <c r="N24">
        <f t="shared" si="2"/>
        <v>60</v>
      </c>
      <c r="O24">
        <f t="shared" si="2"/>
        <v>66</v>
      </c>
      <c r="P24">
        <f t="shared" si="2"/>
        <v>72</v>
      </c>
      <c r="Q24">
        <f t="shared" si="2"/>
        <v>78</v>
      </c>
      <c r="R24">
        <f t="shared" si="2"/>
        <v>84</v>
      </c>
      <c r="S24">
        <f t="shared" si="2"/>
        <v>90</v>
      </c>
      <c r="T24">
        <f t="shared" si="2"/>
        <v>96</v>
      </c>
      <c r="U24">
        <f t="shared" si="2"/>
        <v>102</v>
      </c>
      <c r="V24">
        <f t="shared" si="2"/>
        <v>108</v>
      </c>
      <c r="W24">
        <f t="shared" si="2"/>
        <v>114</v>
      </c>
      <c r="X24">
        <f t="shared" si="2"/>
        <v>120</v>
      </c>
      <c r="Y24">
        <f t="shared" si="2"/>
        <v>126</v>
      </c>
    </row>
    <row r="25" spans="1:25" x14ac:dyDescent="0.2">
      <c r="A25" t="s">
        <v>6</v>
      </c>
      <c r="B25" s="2">
        <f t="shared" ref="B25:N25" si="3">+B24*$B$12</f>
        <v>0</v>
      </c>
      <c r="C25" s="2">
        <f t="shared" si="3"/>
        <v>0</v>
      </c>
      <c r="D25" s="2">
        <f t="shared" si="3"/>
        <v>0</v>
      </c>
      <c r="E25" s="2">
        <f t="shared" si="3"/>
        <v>3000</v>
      </c>
      <c r="F25" s="2">
        <f t="shared" si="3"/>
        <v>6000</v>
      </c>
      <c r="G25" s="2">
        <f t="shared" si="3"/>
        <v>9000</v>
      </c>
      <c r="H25" s="2">
        <f t="shared" si="3"/>
        <v>12000</v>
      </c>
      <c r="I25" s="2">
        <f t="shared" si="3"/>
        <v>15000</v>
      </c>
      <c r="J25" s="2">
        <f t="shared" si="3"/>
        <v>18000</v>
      </c>
      <c r="K25" s="2">
        <f t="shared" si="3"/>
        <v>21000</v>
      </c>
      <c r="L25" s="2">
        <f t="shared" si="3"/>
        <v>24000</v>
      </c>
      <c r="M25" s="2">
        <f t="shared" si="3"/>
        <v>27000</v>
      </c>
      <c r="N25" s="2">
        <f t="shared" si="3"/>
        <v>30000</v>
      </c>
      <c r="O25" s="2">
        <f t="shared" ref="O25" si="4">+O24*$B$12</f>
        <v>33000</v>
      </c>
      <c r="P25" s="2">
        <f t="shared" ref="P25" si="5">+P24*$B$12</f>
        <v>36000</v>
      </c>
      <c r="Q25" s="2">
        <f t="shared" ref="Q25" si="6">+Q24*$B$12</f>
        <v>39000</v>
      </c>
      <c r="R25" s="2">
        <f t="shared" ref="R25" si="7">+R24*$B$12</f>
        <v>42000</v>
      </c>
      <c r="S25" s="2">
        <f t="shared" ref="S25" si="8">+S24*$B$12</f>
        <v>45000</v>
      </c>
      <c r="T25" s="2">
        <f t="shared" ref="T25" si="9">+T24*$B$12</f>
        <v>48000</v>
      </c>
      <c r="U25" s="2">
        <f t="shared" ref="U25" si="10">+U24*$B$12</f>
        <v>51000</v>
      </c>
      <c r="V25" s="2">
        <f t="shared" ref="V25" si="11">+V24*$B$12</f>
        <v>54000</v>
      </c>
      <c r="W25" s="2">
        <f t="shared" ref="W25" si="12">+W24*$B$12</f>
        <v>57000</v>
      </c>
      <c r="X25" s="2">
        <f t="shared" ref="X25" si="13">+X24*$B$12</f>
        <v>60000</v>
      </c>
      <c r="Y25" s="2">
        <f t="shared" ref="Y25" si="14">+Y24*$B$12</f>
        <v>63000</v>
      </c>
    </row>
    <row r="26" spans="1:25" x14ac:dyDescent="0.2">
      <c r="A26" t="s">
        <v>7</v>
      </c>
      <c r="B26" s="2">
        <f>+B16</f>
        <v>10000</v>
      </c>
      <c r="C26" s="3">
        <f>+B26</f>
        <v>10000</v>
      </c>
      <c r="D26" s="3">
        <f t="shared" ref="D26:N26" si="15">+C26</f>
        <v>10000</v>
      </c>
      <c r="E26" s="3">
        <f t="shared" si="15"/>
        <v>10000</v>
      </c>
      <c r="F26" s="3">
        <f t="shared" si="15"/>
        <v>10000</v>
      </c>
      <c r="G26" s="3">
        <f t="shared" si="15"/>
        <v>10000</v>
      </c>
      <c r="H26" s="3">
        <f t="shared" si="15"/>
        <v>10000</v>
      </c>
      <c r="I26" s="3">
        <f t="shared" si="15"/>
        <v>10000</v>
      </c>
      <c r="J26" s="3">
        <f t="shared" si="15"/>
        <v>10000</v>
      </c>
      <c r="K26" s="3">
        <f t="shared" si="15"/>
        <v>10000</v>
      </c>
      <c r="L26" s="3">
        <f t="shared" si="15"/>
        <v>10000</v>
      </c>
      <c r="M26" s="3">
        <f t="shared" si="15"/>
        <v>10000</v>
      </c>
      <c r="N26" s="3">
        <f t="shared" si="15"/>
        <v>10000</v>
      </c>
      <c r="O26" s="3">
        <f t="shared" ref="O26:Y26" si="16">+N26</f>
        <v>10000</v>
      </c>
      <c r="P26" s="3">
        <f t="shared" si="16"/>
        <v>10000</v>
      </c>
      <c r="Q26" s="3">
        <f t="shared" si="16"/>
        <v>10000</v>
      </c>
      <c r="R26" s="3">
        <f t="shared" si="16"/>
        <v>10000</v>
      </c>
      <c r="S26" s="3">
        <f t="shared" si="16"/>
        <v>10000</v>
      </c>
      <c r="T26" s="3">
        <f t="shared" si="16"/>
        <v>10000</v>
      </c>
      <c r="U26" s="3">
        <f t="shared" si="16"/>
        <v>10000</v>
      </c>
      <c r="V26" s="3">
        <f t="shared" si="16"/>
        <v>10000</v>
      </c>
      <c r="W26" s="3">
        <f t="shared" si="16"/>
        <v>10000</v>
      </c>
      <c r="X26" s="3">
        <f t="shared" si="16"/>
        <v>10000</v>
      </c>
      <c r="Y26" s="3">
        <f t="shared" si="16"/>
        <v>10000</v>
      </c>
    </row>
    <row r="27" spans="1:25" x14ac:dyDescent="0.2">
      <c r="A27" s="10" t="s">
        <v>8</v>
      </c>
      <c r="B27" s="11">
        <f t="shared" ref="B27:N27" si="17">+B24*$B$11</f>
        <v>0</v>
      </c>
      <c r="C27" s="11">
        <f t="shared" si="17"/>
        <v>0</v>
      </c>
      <c r="D27" s="11">
        <f t="shared" si="17"/>
        <v>0</v>
      </c>
      <c r="E27" s="11">
        <f t="shared" si="17"/>
        <v>600</v>
      </c>
      <c r="F27" s="11">
        <f t="shared" si="17"/>
        <v>1200</v>
      </c>
      <c r="G27" s="11">
        <f t="shared" si="17"/>
        <v>1800</v>
      </c>
      <c r="H27" s="11">
        <f t="shared" si="17"/>
        <v>2400</v>
      </c>
      <c r="I27" s="11">
        <f t="shared" si="17"/>
        <v>3000</v>
      </c>
      <c r="J27" s="11">
        <f t="shared" si="17"/>
        <v>3600</v>
      </c>
      <c r="K27" s="11">
        <f t="shared" si="17"/>
        <v>4200</v>
      </c>
      <c r="L27" s="11">
        <f t="shared" si="17"/>
        <v>4800</v>
      </c>
      <c r="M27" s="11">
        <f t="shared" si="17"/>
        <v>5400</v>
      </c>
      <c r="N27" s="11">
        <f t="shared" si="17"/>
        <v>6000</v>
      </c>
      <c r="O27" s="11">
        <f t="shared" ref="O27:Y27" si="18">+O24*$B$11</f>
        <v>6600</v>
      </c>
      <c r="P27" s="11">
        <f t="shared" si="18"/>
        <v>7200</v>
      </c>
      <c r="Q27" s="11">
        <f t="shared" si="18"/>
        <v>7800</v>
      </c>
      <c r="R27" s="11">
        <f t="shared" si="18"/>
        <v>8400</v>
      </c>
      <c r="S27" s="11">
        <f t="shared" si="18"/>
        <v>9000</v>
      </c>
      <c r="T27" s="11">
        <f t="shared" si="18"/>
        <v>9600</v>
      </c>
      <c r="U27" s="11">
        <f t="shared" si="18"/>
        <v>10200</v>
      </c>
      <c r="V27" s="11">
        <f t="shared" si="18"/>
        <v>10800</v>
      </c>
      <c r="W27" s="11">
        <f t="shared" si="18"/>
        <v>11400</v>
      </c>
      <c r="X27" s="11">
        <f t="shared" si="18"/>
        <v>12000</v>
      </c>
      <c r="Y27" s="11">
        <f t="shared" si="18"/>
        <v>12600</v>
      </c>
    </row>
    <row r="28" spans="1:25" x14ac:dyDescent="0.2">
      <c r="A28" s="1" t="s">
        <v>9</v>
      </c>
      <c r="B28" s="8">
        <f>+B25-(B23+B26+B27)</f>
        <v>-110000</v>
      </c>
      <c r="C28" s="8">
        <f t="shared" ref="C28:N28" si="19">+C25-(C23+C26+C27)</f>
        <v>-10000</v>
      </c>
      <c r="D28" s="8">
        <f t="shared" si="19"/>
        <v>-10000</v>
      </c>
      <c r="E28" s="8">
        <f t="shared" si="19"/>
        <v>-7600</v>
      </c>
      <c r="F28" s="8">
        <f t="shared" si="19"/>
        <v>-5200</v>
      </c>
      <c r="G28" s="8">
        <f t="shared" si="19"/>
        <v>-2800</v>
      </c>
      <c r="H28" s="8">
        <f t="shared" si="19"/>
        <v>-400</v>
      </c>
      <c r="I28" s="8">
        <f t="shared" si="19"/>
        <v>2000</v>
      </c>
      <c r="J28" s="8">
        <f t="shared" si="19"/>
        <v>4400</v>
      </c>
      <c r="K28" s="8">
        <f t="shared" si="19"/>
        <v>6800</v>
      </c>
      <c r="L28" s="8">
        <f t="shared" si="19"/>
        <v>9200</v>
      </c>
      <c r="M28" s="8">
        <f t="shared" si="19"/>
        <v>11600</v>
      </c>
      <c r="N28" s="8">
        <f t="shared" si="19"/>
        <v>14000</v>
      </c>
      <c r="O28" s="8">
        <f t="shared" ref="O28" si="20">+O25-(O23+O26+O27)</f>
        <v>16400</v>
      </c>
      <c r="P28" s="8">
        <f t="shared" ref="P28" si="21">+P25-(P23+P26+P27)</f>
        <v>18800</v>
      </c>
      <c r="Q28" s="8">
        <f t="shared" ref="Q28" si="22">+Q25-(Q23+Q26+Q27)</f>
        <v>21200</v>
      </c>
      <c r="R28" s="8">
        <f t="shared" ref="R28" si="23">+R25-(R23+R26+R27)</f>
        <v>23600</v>
      </c>
      <c r="S28" s="8">
        <f t="shared" ref="S28" si="24">+S25-(S23+S26+S27)</f>
        <v>26000</v>
      </c>
      <c r="T28" s="8">
        <f t="shared" ref="T28" si="25">+T25-(T23+T26+T27)</f>
        <v>28400</v>
      </c>
      <c r="U28" s="8">
        <f t="shared" ref="U28" si="26">+U25-(U23+U26+U27)</f>
        <v>30800</v>
      </c>
      <c r="V28" s="8">
        <f t="shared" ref="V28" si="27">+V25-(V23+V26+V27)</f>
        <v>33200</v>
      </c>
      <c r="W28" s="8">
        <f t="shared" ref="W28" si="28">+W25-(W23+W26+W27)</f>
        <v>35600</v>
      </c>
      <c r="X28" s="8">
        <f t="shared" ref="X28" si="29">+X25-(X23+X26+X27)</f>
        <v>38000</v>
      </c>
      <c r="Y28" s="8">
        <f t="shared" ref="Y28" si="30">+Y25-(Y23+Y26+Y27)</f>
        <v>40400</v>
      </c>
    </row>
    <row r="29" spans="1:25" x14ac:dyDescent="0.2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">
      <c r="A30" s="16" t="s">
        <v>38</v>
      </c>
    </row>
    <row r="31" spans="1:25" x14ac:dyDescent="0.2">
      <c r="A31" s="1" t="s">
        <v>3</v>
      </c>
      <c r="B31" s="12">
        <v>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>
        <v>2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2">
      <c r="A32" s="9" t="s">
        <v>4</v>
      </c>
      <c r="B32" s="9">
        <v>1</v>
      </c>
      <c r="C32" s="9">
        <v>2</v>
      </c>
      <c r="D32" s="9">
        <v>3</v>
      </c>
      <c r="E32" s="9">
        <v>4</v>
      </c>
      <c r="F32" s="9">
        <v>5</v>
      </c>
      <c r="G32" s="9">
        <v>6</v>
      </c>
      <c r="H32" s="9">
        <v>7</v>
      </c>
      <c r="I32" s="9">
        <v>8</v>
      </c>
      <c r="J32" s="9">
        <v>9</v>
      </c>
      <c r="K32" s="9">
        <v>10</v>
      </c>
      <c r="L32" s="9">
        <v>11</v>
      </c>
      <c r="M32" s="9">
        <v>12</v>
      </c>
      <c r="N32" s="9">
        <v>13</v>
      </c>
      <c r="O32" s="9">
        <f>+N32+1</f>
        <v>14</v>
      </c>
      <c r="P32" s="9">
        <f t="shared" ref="P32" si="31">+O32+1</f>
        <v>15</v>
      </c>
      <c r="Q32" s="9">
        <f t="shared" ref="Q32" si="32">+P32+1</f>
        <v>16</v>
      </c>
      <c r="R32" s="9">
        <f t="shared" ref="R32" si="33">+Q32+1</f>
        <v>17</v>
      </c>
      <c r="S32" s="9">
        <f t="shared" ref="S32" si="34">+R32+1</f>
        <v>18</v>
      </c>
      <c r="T32" s="9">
        <f t="shared" ref="T32" si="35">+S32+1</f>
        <v>19</v>
      </c>
      <c r="U32" s="9">
        <f t="shared" ref="U32" si="36">+T32+1</f>
        <v>20</v>
      </c>
      <c r="V32" s="9">
        <f t="shared" ref="V32" si="37">+U32+1</f>
        <v>21</v>
      </c>
      <c r="W32" s="9">
        <f t="shared" ref="W32" si="38">+V32+1</f>
        <v>22</v>
      </c>
      <c r="X32" s="9">
        <f t="shared" ref="X32" si="39">+W32+1</f>
        <v>23</v>
      </c>
      <c r="Y32" s="9">
        <f t="shared" ref="Y32" si="40">+X32+1</f>
        <v>24</v>
      </c>
    </row>
    <row r="33" spans="1:25" x14ac:dyDescent="0.2">
      <c r="A33" s="17" t="s">
        <v>40</v>
      </c>
    </row>
    <row r="34" spans="1:25" x14ac:dyDescent="0.2">
      <c r="B34" s="3">
        <f>+B7</f>
        <v>150000</v>
      </c>
      <c r="C34" s="3">
        <f>+B34+B35</f>
        <v>40000</v>
      </c>
      <c r="D34" s="3">
        <f t="shared" ref="D34:Y34" si="41">+C34+C35</f>
        <v>30000</v>
      </c>
      <c r="E34" s="3">
        <f t="shared" si="41"/>
        <v>20000</v>
      </c>
      <c r="F34" s="3">
        <f t="shared" si="41"/>
        <v>12400</v>
      </c>
      <c r="G34" s="3">
        <f t="shared" si="41"/>
        <v>7200</v>
      </c>
      <c r="H34" s="3">
        <f t="shared" si="41"/>
        <v>4400</v>
      </c>
      <c r="I34" s="3">
        <f t="shared" si="41"/>
        <v>4000</v>
      </c>
      <c r="J34" s="3">
        <f t="shared" si="41"/>
        <v>6000</v>
      </c>
      <c r="K34" s="3">
        <f t="shared" si="41"/>
        <v>10400</v>
      </c>
      <c r="L34" s="3">
        <f t="shared" si="41"/>
        <v>17200</v>
      </c>
      <c r="M34" s="3">
        <f t="shared" si="41"/>
        <v>26400</v>
      </c>
      <c r="N34" s="3">
        <f t="shared" si="41"/>
        <v>38000</v>
      </c>
      <c r="O34" s="3">
        <f t="shared" si="41"/>
        <v>52000</v>
      </c>
      <c r="P34" s="3">
        <f t="shared" si="41"/>
        <v>68400</v>
      </c>
      <c r="Q34" s="3">
        <f t="shared" si="41"/>
        <v>87200</v>
      </c>
      <c r="R34" s="3">
        <f t="shared" si="41"/>
        <v>108400</v>
      </c>
      <c r="S34" s="3">
        <f t="shared" si="41"/>
        <v>132000</v>
      </c>
      <c r="T34" s="3">
        <f t="shared" si="41"/>
        <v>158000</v>
      </c>
      <c r="U34" s="3">
        <f t="shared" si="41"/>
        <v>186400</v>
      </c>
      <c r="V34" s="3">
        <f t="shared" si="41"/>
        <v>217200</v>
      </c>
      <c r="W34" s="3">
        <f t="shared" si="41"/>
        <v>250400</v>
      </c>
      <c r="X34" s="3">
        <f t="shared" si="41"/>
        <v>286000</v>
      </c>
      <c r="Y34" s="3">
        <f t="shared" si="41"/>
        <v>324000</v>
      </c>
    </row>
    <row r="35" spans="1:25" x14ac:dyDescent="0.2">
      <c r="A35" s="17" t="s">
        <v>39</v>
      </c>
      <c r="B35" s="3">
        <f>+B28</f>
        <v>-110000</v>
      </c>
      <c r="C35" s="3">
        <f t="shared" ref="C35:G35" si="42">+C28</f>
        <v>-10000</v>
      </c>
      <c r="D35" s="3">
        <f t="shared" si="42"/>
        <v>-10000</v>
      </c>
      <c r="E35" s="3">
        <f t="shared" si="42"/>
        <v>-7600</v>
      </c>
      <c r="F35" s="3">
        <f t="shared" si="42"/>
        <v>-5200</v>
      </c>
      <c r="G35" s="3">
        <f t="shared" si="42"/>
        <v>-2800</v>
      </c>
      <c r="H35" s="3">
        <f t="shared" ref="H35:Y35" si="43">+H28</f>
        <v>-400</v>
      </c>
      <c r="I35" s="3">
        <f t="shared" si="43"/>
        <v>2000</v>
      </c>
      <c r="J35" s="3">
        <f t="shared" si="43"/>
        <v>4400</v>
      </c>
      <c r="K35" s="3">
        <f t="shared" si="43"/>
        <v>6800</v>
      </c>
      <c r="L35" s="3">
        <f t="shared" si="43"/>
        <v>9200</v>
      </c>
      <c r="M35" s="3">
        <f t="shared" si="43"/>
        <v>11600</v>
      </c>
      <c r="N35" s="3">
        <f t="shared" si="43"/>
        <v>14000</v>
      </c>
      <c r="O35" s="3">
        <f t="shared" si="43"/>
        <v>16400</v>
      </c>
      <c r="P35" s="3">
        <f t="shared" si="43"/>
        <v>18800</v>
      </c>
      <c r="Q35" s="3">
        <f t="shared" si="43"/>
        <v>21200</v>
      </c>
      <c r="R35" s="3">
        <f t="shared" si="43"/>
        <v>23600</v>
      </c>
      <c r="S35" s="3">
        <f t="shared" si="43"/>
        <v>26000</v>
      </c>
      <c r="T35" s="3">
        <f t="shared" si="43"/>
        <v>28400</v>
      </c>
      <c r="U35" s="3">
        <f t="shared" si="43"/>
        <v>30800</v>
      </c>
      <c r="V35" s="3">
        <f t="shared" si="43"/>
        <v>33200</v>
      </c>
      <c r="W35" s="3">
        <f t="shared" si="43"/>
        <v>35600</v>
      </c>
      <c r="X35" s="3">
        <f t="shared" si="43"/>
        <v>38000</v>
      </c>
      <c r="Y35" s="3">
        <f t="shared" si="43"/>
        <v>40400</v>
      </c>
    </row>
    <row r="40" spans="1:25" x14ac:dyDescent="0.2">
      <c r="A40" s="1" t="s">
        <v>10</v>
      </c>
      <c r="B40" s="4">
        <f>+SUM(B25:Y25)/SUM(B26:Y27) -1</f>
        <v>0.83042789223454827</v>
      </c>
    </row>
    <row r="41" spans="1:25" x14ac:dyDescent="0.2">
      <c r="A41" s="1" t="s">
        <v>13</v>
      </c>
      <c r="B41" s="5">
        <f>+IRR(B28:Y28)</f>
        <v>5.5689908129699095E-2</v>
      </c>
    </row>
    <row r="42" spans="1:25" x14ac:dyDescent="0.2">
      <c r="A42" s="1" t="s">
        <v>14</v>
      </c>
      <c r="B42" s="5">
        <v>9.1666666666666667E-3</v>
      </c>
    </row>
    <row r="43" spans="1:25" x14ac:dyDescent="0.2">
      <c r="A43" s="1" t="s">
        <v>12</v>
      </c>
      <c r="B43" s="6">
        <f>+NPV(B42,B28:Y28)</f>
        <v>160156.50090113591</v>
      </c>
    </row>
    <row r="44" spans="1:25" x14ac:dyDescent="0.2">
      <c r="A44" s="1" t="s">
        <v>11</v>
      </c>
      <c r="B44" s="13" t="s">
        <v>29</v>
      </c>
    </row>
  </sheetData>
  <mergeCells count="4">
    <mergeCell ref="B21:M21"/>
    <mergeCell ref="N21:Y21"/>
    <mergeCell ref="B31:M31"/>
    <mergeCell ref="N31:Y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Lugo</dc:creator>
  <cp:lastModifiedBy>Max Lugo</cp:lastModifiedBy>
  <dcterms:created xsi:type="dcterms:W3CDTF">2026-02-18T18:06:07Z</dcterms:created>
  <dcterms:modified xsi:type="dcterms:W3CDTF">2026-02-19T00:46:57Z</dcterms:modified>
</cp:coreProperties>
</file>